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F55E5901-1E24-4F24-AF3F-01334A9B4E2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shboard" sheetId="1" r:id="rId1"/>
    <sheet name="Sales Data" sheetId="2" r:id="rId2"/>
  </sheets>
  <definedNames>
    <definedName name="_xlnm._FilterDatabase" localSheetId="1" hidden="1">'Sales Data'!$A$1:$J$21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H21" i="2"/>
  <c r="J21" i="2" s="1"/>
  <c r="I20" i="2"/>
  <c r="H20" i="2"/>
  <c r="J20" i="2" s="1"/>
  <c r="I19" i="2"/>
  <c r="H19" i="2"/>
  <c r="J19" i="2" s="1"/>
  <c r="I18" i="2"/>
  <c r="J18" i="2" s="1"/>
  <c r="H18" i="2"/>
  <c r="I17" i="2"/>
  <c r="H17" i="2"/>
  <c r="J17" i="2" s="1"/>
  <c r="I16" i="2"/>
  <c r="H16" i="2"/>
  <c r="J16" i="2" s="1"/>
  <c r="I15" i="2"/>
  <c r="H15" i="2"/>
  <c r="J15" i="2" s="1"/>
  <c r="I14" i="2"/>
  <c r="H14" i="2"/>
  <c r="I13" i="2"/>
  <c r="H13" i="2"/>
  <c r="J13" i="2" s="1"/>
  <c r="I12" i="2"/>
  <c r="H12" i="2"/>
  <c r="J12" i="2" s="1"/>
  <c r="I11" i="2"/>
  <c r="H11" i="2"/>
  <c r="J11" i="2" s="1"/>
  <c r="I10" i="2"/>
  <c r="H10" i="2"/>
  <c r="J10" i="2" s="1"/>
  <c r="I9" i="2"/>
  <c r="H9" i="2"/>
  <c r="J9" i="2" s="1"/>
  <c r="I8" i="2"/>
  <c r="H8" i="2"/>
  <c r="J8" i="2" s="1"/>
  <c r="I7" i="2"/>
  <c r="H7" i="2"/>
  <c r="J7" i="2" s="1"/>
  <c r="D16" i="1" s="1"/>
  <c r="I6" i="2"/>
  <c r="H6" i="2"/>
  <c r="J6" i="2" s="1"/>
  <c r="D15" i="1" s="1"/>
  <c r="I5" i="2"/>
  <c r="H5" i="2"/>
  <c r="J5" i="2" s="1"/>
  <c r="D14" i="1" s="1"/>
  <c r="I4" i="2"/>
  <c r="H4" i="2"/>
  <c r="J4" i="2" s="1"/>
  <c r="I3" i="2"/>
  <c r="H3" i="2"/>
  <c r="J3" i="2" s="1"/>
  <c r="D12" i="1" s="1"/>
  <c r="I2" i="2"/>
  <c r="H2" i="2"/>
  <c r="J2" i="2" s="1"/>
  <c r="C16" i="1"/>
  <c r="B16" i="1"/>
  <c r="C15" i="1"/>
  <c r="B15" i="1"/>
  <c r="G14" i="1"/>
  <c r="C14" i="1"/>
  <c r="B14" i="1"/>
  <c r="G13" i="1"/>
  <c r="C13" i="1"/>
  <c r="B13" i="1"/>
  <c r="G12" i="1"/>
  <c r="C12" i="1"/>
  <c r="B12" i="1"/>
  <c r="G11" i="1"/>
  <c r="C11" i="1"/>
  <c r="B11" i="1"/>
  <c r="G5" i="1"/>
  <c r="E5" i="1"/>
  <c r="A5" i="1"/>
  <c r="J14" i="2" l="1"/>
  <c r="C5" i="1" s="1"/>
  <c r="D13" i="1"/>
  <c r="D11" i="1"/>
</calcChain>
</file>

<file path=xl/sharedStrings.xml><?xml version="1.0" encoding="utf-8"?>
<sst xmlns="http://schemas.openxmlformats.org/spreadsheetml/2006/main" count="114" uniqueCount="53">
  <si>
    <t>SALES PERFORMANCE DASHBOARD</t>
  </si>
  <si>
    <t>Illustrative portfolio project | All figures use fictional sample data</t>
  </si>
  <si>
    <t>TOTAL REVENUE</t>
  </si>
  <si>
    <t>GROSS PROFIT</t>
  </si>
  <si>
    <t>UNITS SOLD</t>
  </si>
  <si>
    <t>TRANSACTIONS</t>
  </si>
  <si>
    <t>PRODUCT PERFORMANCE</t>
  </si>
  <si>
    <t>REVENUE BY CHANNEL</t>
  </si>
  <si>
    <t>Product</t>
  </si>
  <si>
    <t>Units Sold</t>
  </si>
  <si>
    <t>Revenue (KES)</t>
  </si>
  <si>
    <t>Gross Profit (KES)</t>
  </si>
  <si>
    <t>Channel</t>
  </si>
  <si>
    <t>Skin Care Set</t>
  </si>
  <si>
    <t>Instagram</t>
  </si>
  <si>
    <t>Body Lotion</t>
  </si>
  <si>
    <t>WhatsApp</t>
  </si>
  <si>
    <t>Face Wash</t>
  </si>
  <si>
    <t>TikTok</t>
  </si>
  <si>
    <t>Sunscreen</t>
  </si>
  <si>
    <t>Walk-in</t>
  </si>
  <si>
    <t>Lip Balm</t>
  </si>
  <si>
    <t>Hair Oil</t>
  </si>
  <si>
    <t>Date</t>
  </si>
  <si>
    <t>Region</t>
  </si>
  <si>
    <t>Sales Channel</t>
  </si>
  <si>
    <t>Unit Price (KES)</t>
  </si>
  <si>
    <t>Unit Cost (KES)</t>
  </si>
  <si>
    <t>Cost of Goods (KES)</t>
  </si>
  <si>
    <t>2026-09-02</t>
  </si>
  <si>
    <t>Nairobi</t>
  </si>
  <si>
    <t>2026-09-03</t>
  </si>
  <si>
    <t>Kiambu</t>
  </si>
  <si>
    <t>2026-09-04</t>
  </si>
  <si>
    <t>2026-09-05</t>
  </si>
  <si>
    <t>Mombasa</t>
  </si>
  <si>
    <t>2026-09-06</t>
  </si>
  <si>
    <t>Nakuru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</si>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</sst>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KES&quot;\ #,##0.00"/>
    <numFmt numFmtId="165" formatCode="&quot;KES&quot;\ 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i/>
      <sz val="10"/>
      <color rgb="FF666666"/>
      <name val="Calibri"/>
    </font>
    <font>
      <b/>
      <sz val="10"/>
      <color rgb="FFFFFFFF"/>
      <name val="Calibri"/>
    </font>
    <font>
      <b/>
      <sz val="16"/>
      <color rgb="FF17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 applyAlignment="1">
      <alignment wrapText="1"/>
    </xf>
    <xf numFmtId="0" fontId="1" fillId="3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4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horizontal="center"/>
    </xf>
    <xf numFmtId="165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Dashboard!$C$10</c:f>
              <c:strCache>
                <c:ptCount val="1"/>
                <c:pt idx="0">
                  <c:v>Revenue (KES)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Dashboard!$A$11:$A$16</c:f>
              <c:strCache>
                <c:ptCount val="6"/>
                <c:pt idx="0">
                  <c:v>Skin Care Set</c:v>
                </c:pt>
                <c:pt idx="1">
                  <c:v>Body Lotion</c:v>
                </c:pt>
                <c:pt idx="2">
                  <c:v>Face Wash</c:v>
                </c:pt>
                <c:pt idx="3">
                  <c:v>Sunscreen</c:v>
                </c:pt>
                <c:pt idx="4">
                  <c:v>Lip Balm</c:v>
                </c:pt>
                <c:pt idx="5">
                  <c:v>Hair Oil</c:v>
                </c:pt>
              </c:strCache>
            </c:strRef>
          </c:cat>
          <c:val>
            <c:numRef>
              <c:f>Dashboard!$C$11:$C$16</c:f>
              <c:numCache>
                <c:formatCode>"KES"\ #,##0</c:formatCode>
                <c:ptCount val="6"/>
                <c:pt idx="0">
                  <c:v>28750</c:v>
                </c:pt>
                <c:pt idx="1">
                  <c:v>33150</c:v>
                </c:pt>
                <c:pt idx="2">
                  <c:v>16320</c:v>
                </c:pt>
                <c:pt idx="3">
                  <c:v>19950</c:v>
                </c:pt>
                <c:pt idx="4">
                  <c:v>13250</c:v>
                </c:pt>
                <c:pt idx="5">
                  <c:v>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9-46F1-B0C4-F85833F46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(KES)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1"/>
        </c:title>
        <c:numFmt formatCode="&quot;KES&quot;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Revenue by Sales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Dashboard!$G$10</c:f>
              <c:strCache>
                <c:ptCount val="1"/>
                <c:pt idx="0">
                  <c:v>Revenue (KES)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Dashboard!$F$11:$F$14</c:f>
              <c:strCache>
                <c:ptCount val="4"/>
                <c:pt idx="0">
                  <c:v>Instagram</c:v>
                </c:pt>
                <c:pt idx="1">
                  <c:v>WhatsApp</c:v>
                </c:pt>
                <c:pt idx="2">
                  <c:v>TikTok</c:v>
                </c:pt>
                <c:pt idx="3">
                  <c:v>Walk-in</c:v>
                </c:pt>
              </c:strCache>
            </c:strRef>
          </c:cat>
          <c:val>
            <c:numRef>
              <c:f>Dashboard!$G$11:$G$14</c:f>
              <c:numCache>
                <c:formatCode>"KES"\ #,##0</c:formatCode>
                <c:ptCount val="4"/>
                <c:pt idx="0">
                  <c:v>43490</c:v>
                </c:pt>
                <c:pt idx="1">
                  <c:v>37180</c:v>
                </c:pt>
                <c:pt idx="2">
                  <c:v>35300</c:v>
                </c:pt>
                <c:pt idx="3">
                  <c:v>13650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B-4CC8-85C4-0756938A7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Channel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(KES)</a:t>
                </a:r>
              </a:p>
            </c:rich>
          </c:tx>
          <c:overlay val="1"/>
        </c:title>
        <c:numFmt formatCode="&quot;KES&quot;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46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18</xdr:row>
      <xdr:rowOff>0</xdr:rowOff>
    </xdr:from>
    <xdr:ext cx="396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zoomScale="70" zoomScaleNormal="70" workbookViewId="0">
      <pane ySplit="8" topLeftCell="A9" activePane="bottomLeft" state="frozen"/>
      <selection pane="bottomLeft" activeCell="G11" sqref="G11"/>
    </sheetView>
  </sheetViews>
  <sheetFormatPr defaultRowHeight="14.5" x14ac:dyDescent="0.35"/>
  <cols>
    <col min="1" max="1" width="20" customWidth="1"/>
    <col min="2" max="2" width="14" customWidth="1"/>
    <col min="3" max="3" width="17" customWidth="1"/>
    <col min="4" max="4" width="20" customWidth="1"/>
    <col min="5" max="5" width="4" customWidth="1"/>
    <col min="6" max="7" width="18" customWidth="1"/>
    <col min="8" max="8" width="14" customWidth="1"/>
  </cols>
  <sheetData>
    <row r="1" spans="1:8" ht="34" customHeight="1" x14ac:dyDescent="0.55000000000000004">
      <c r="A1" s="13" t="s">
        <v>0</v>
      </c>
      <c r="B1" s="8"/>
      <c r="C1" s="8"/>
      <c r="D1" s="8"/>
      <c r="E1" s="8"/>
      <c r="F1" s="8"/>
      <c r="G1" s="8"/>
      <c r="H1" s="8"/>
    </row>
    <row r="2" spans="1:8" x14ac:dyDescent="0.35">
      <c r="A2" s="10" t="s">
        <v>1</v>
      </c>
      <c r="B2" s="8"/>
      <c r="C2" s="8"/>
      <c r="D2" s="8"/>
      <c r="E2" s="8"/>
      <c r="F2" s="8"/>
      <c r="G2" s="8"/>
      <c r="H2" s="8"/>
    </row>
    <row r="4" spans="1:8" x14ac:dyDescent="0.35">
      <c r="A4" s="7" t="s">
        <v>2</v>
      </c>
      <c r="B4" s="8"/>
      <c r="C4" s="7" t="s">
        <v>3</v>
      </c>
      <c r="D4" s="8"/>
      <c r="E4" s="7" t="s">
        <v>4</v>
      </c>
      <c r="F4" s="8"/>
      <c r="G4" s="7" t="s">
        <v>5</v>
      </c>
      <c r="H4" s="8"/>
    </row>
    <row r="5" spans="1:8" ht="24" customHeight="1" x14ac:dyDescent="0.35">
      <c r="A5" s="11">
        <f>SUM('Sales Data'!H2:H21)</f>
        <v>129620</v>
      </c>
      <c r="B5" s="8"/>
      <c r="C5" s="11">
        <f>SUM('Sales Data'!J2:J21)</f>
        <v>65660</v>
      </c>
      <c r="D5" s="8"/>
      <c r="E5" s="12">
        <f>SUM('Sales Data'!E2:E21)</f>
        <v>208</v>
      </c>
      <c r="F5" s="8"/>
      <c r="G5" s="12">
        <f>COUNTA('Sales Data'!A2:A21)</f>
        <v>20</v>
      </c>
      <c r="H5" s="8"/>
    </row>
    <row r="6" spans="1:8" ht="24" customHeight="1" x14ac:dyDescent="0.35">
      <c r="A6" s="8"/>
      <c r="B6" s="8"/>
      <c r="C6" s="8"/>
      <c r="D6" s="8"/>
      <c r="E6" s="8"/>
      <c r="F6" s="8"/>
      <c r="G6" s="8"/>
      <c r="H6" s="8"/>
    </row>
    <row r="9" spans="1:8" x14ac:dyDescent="0.35">
      <c r="A9" s="9" t="s">
        <v>6</v>
      </c>
      <c r="B9" s="8"/>
      <c r="C9" s="8"/>
      <c r="D9" s="8"/>
      <c r="F9" s="9" t="s">
        <v>7</v>
      </c>
      <c r="G9" s="8"/>
    </row>
    <row r="10" spans="1:8" x14ac:dyDescent="0.35">
      <c r="A10" s="1" t="s">
        <v>8</v>
      </c>
      <c r="B10" s="1" t="s">
        <v>9</v>
      </c>
      <c r="C10" s="1" t="s">
        <v>10</v>
      </c>
      <c r="D10" s="1" t="s">
        <v>11</v>
      </c>
      <c r="F10" s="2" t="s">
        <v>12</v>
      </c>
      <c r="G10" s="2" t="s">
        <v>10</v>
      </c>
    </row>
    <row r="11" spans="1:8" x14ac:dyDescent="0.35">
      <c r="A11" t="s">
        <v>13</v>
      </c>
      <c r="B11">
        <f>SUMIF('Sales Data'!$B$2:$B$21,A11,'Sales Data'!$E$2:$E$21)</f>
        <v>23</v>
      </c>
      <c r="C11" s="3">
        <f>SUMIF('Sales Data'!$B$2:$B$21,A11,'Sales Data'!$H$2:$H$21)</f>
        <v>28750</v>
      </c>
      <c r="D11" s="3">
        <f>SUMIF('Sales Data'!$B$2:$B$21,A11,'Sales Data'!$J$2:$J$21)</f>
        <v>13800</v>
      </c>
      <c r="F11" t="s">
        <v>14</v>
      </c>
      <c r="G11" s="3">
        <f>SUMIF('Sales Data'!$D$2:$D$21,F11,'Sales Data'!$H$2:$H$21)</f>
        <v>43490</v>
      </c>
    </row>
    <row r="12" spans="1:8" x14ac:dyDescent="0.35">
      <c r="A12" t="s">
        <v>15</v>
      </c>
      <c r="B12">
        <f>SUMIF('Sales Data'!$B$2:$B$21,A12,'Sales Data'!$E$2:$E$21)</f>
        <v>51</v>
      </c>
      <c r="C12" s="3">
        <f>SUMIF('Sales Data'!$B$2:$B$21,A12,'Sales Data'!$H$2:$H$21)</f>
        <v>33150</v>
      </c>
      <c r="D12" s="3">
        <f>SUMIF('Sales Data'!$B$2:$B$21,A12,'Sales Data'!$J$2:$J$21)</f>
        <v>16830</v>
      </c>
      <c r="F12" t="s">
        <v>16</v>
      </c>
      <c r="G12" s="3">
        <f>SUMIF('Sales Data'!$D$2:$D$21,F12,'Sales Data'!$H$2:$H$21)</f>
        <v>37180</v>
      </c>
    </row>
    <row r="13" spans="1:8" x14ac:dyDescent="0.35">
      <c r="A13" t="s">
        <v>17</v>
      </c>
      <c r="B13">
        <f>SUMIF('Sales Data'!$B$2:$B$21,A13,'Sales Data'!$E$2:$E$21)</f>
        <v>34</v>
      </c>
      <c r="C13" s="3">
        <f>SUMIF('Sales Data'!$B$2:$B$21,A13,'Sales Data'!$H$2:$H$21)</f>
        <v>16320</v>
      </c>
      <c r="D13" s="3">
        <f>SUMIF('Sales Data'!$B$2:$B$21,A13,'Sales Data'!$J$2:$J$21)</f>
        <v>8840</v>
      </c>
      <c r="F13" t="s">
        <v>18</v>
      </c>
      <c r="G13" s="3">
        <f>SUMIF('Sales Data'!$D$2:$D$21,F13,'Sales Data'!$H$2:$H$21)</f>
        <v>35300</v>
      </c>
    </row>
    <row r="14" spans="1:8" x14ac:dyDescent="0.35">
      <c r="A14" t="s">
        <v>19</v>
      </c>
      <c r="B14">
        <f>SUMIF('Sales Data'!$B$2:$B$21,A14,'Sales Data'!$E$2:$E$21)</f>
        <v>21</v>
      </c>
      <c r="C14" s="3">
        <f>SUMIF('Sales Data'!$B$2:$B$21,A14,'Sales Data'!$H$2:$H$21)</f>
        <v>19950</v>
      </c>
      <c r="D14" s="3">
        <f>SUMIF('Sales Data'!$B$2:$B$21,A14,'Sales Data'!$J$2:$J$21)</f>
        <v>8610</v>
      </c>
      <c r="F14" t="s">
        <v>20</v>
      </c>
      <c r="G14" s="3">
        <f>SUMIF('Sales Data'!$D$2:$D$21,F14,'Sales Data'!$H$2:$H$21)</f>
        <v>13650</v>
      </c>
    </row>
    <row r="15" spans="1:8" x14ac:dyDescent="0.35">
      <c r="A15" t="s">
        <v>21</v>
      </c>
      <c r="B15">
        <f>SUMIF('Sales Data'!$B$2:$B$21,A15,'Sales Data'!$E$2:$E$21)</f>
        <v>53</v>
      </c>
      <c r="C15" s="3">
        <f>SUMIF('Sales Data'!$B$2:$B$21,A15,'Sales Data'!$H$2:$H$21)</f>
        <v>13250</v>
      </c>
      <c r="D15" s="3">
        <f>SUMIF('Sales Data'!$B$2:$B$21,A15,'Sales Data'!$J$2:$J$21)</f>
        <v>8480</v>
      </c>
    </row>
    <row r="16" spans="1:8" x14ac:dyDescent="0.35">
      <c r="A16" t="s">
        <v>22</v>
      </c>
      <c r="B16">
        <f>SUMIF('Sales Data'!$B$2:$B$21,A16,'Sales Data'!$E$2:$E$21)</f>
        <v>26</v>
      </c>
      <c r="C16" s="3">
        <f>SUMIF('Sales Data'!$B$2:$B$21,A16,'Sales Data'!$H$2:$H$21)</f>
        <v>18200</v>
      </c>
      <c r="D16" s="3">
        <f>SUMIF('Sales Data'!$B$2:$B$21,A16,'Sales Data'!$J$2:$J$21)</f>
        <v>9100</v>
      </c>
    </row>
  </sheetData>
  <mergeCells count="12">
    <mergeCell ref="A1:H1"/>
    <mergeCell ref="F9:G9"/>
    <mergeCell ref="C4:D4"/>
    <mergeCell ref="A4:B4"/>
    <mergeCell ref="G4:H4"/>
    <mergeCell ref="E4:F4"/>
    <mergeCell ref="A9:D9"/>
    <mergeCell ref="A2:H2"/>
    <mergeCell ref="C5:D6"/>
    <mergeCell ref="A5:B6"/>
    <mergeCell ref="G5:H6"/>
    <mergeCell ref="E5:F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0" customWidth="1"/>
    <col min="3" max="3" width="14" customWidth="1"/>
    <col min="4" max="4" width="17" customWidth="1"/>
    <col min="5" max="5" width="13" customWidth="1"/>
    <col min="6" max="8" width="17" customWidth="1"/>
    <col min="9" max="10" width="20" customWidth="1"/>
  </cols>
  <sheetData>
    <row r="1" spans="1:10" x14ac:dyDescent="0.35">
      <c r="A1" s="4" t="s">
        <v>23</v>
      </c>
      <c r="B1" s="4" t="s">
        <v>8</v>
      </c>
      <c r="C1" s="4" t="s">
        <v>24</v>
      </c>
      <c r="D1" s="4" t="s">
        <v>25</v>
      </c>
      <c r="E1" s="4" t="s">
        <v>9</v>
      </c>
      <c r="F1" s="4" t="s">
        <v>26</v>
      </c>
      <c r="G1" s="4" t="s">
        <v>27</v>
      </c>
      <c r="H1" s="4" t="s">
        <v>10</v>
      </c>
      <c r="I1" s="4" t="s">
        <v>28</v>
      </c>
      <c r="J1" s="4" t="s">
        <v>11</v>
      </c>
    </row>
    <row r="2" spans="1:10" x14ac:dyDescent="0.35">
      <c r="A2" s="5" t="s">
        <v>29</v>
      </c>
      <c r="B2" s="5" t="s">
        <v>13</v>
      </c>
      <c r="C2" s="5" t="s">
        <v>30</v>
      </c>
      <c r="D2" s="5" t="s">
        <v>14</v>
      </c>
      <c r="E2" s="5">
        <v>8</v>
      </c>
      <c r="F2" s="6">
        <v>1250</v>
      </c>
      <c r="G2" s="6">
        <v>650</v>
      </c>
      <c r="H2" s="6">
        <f t="shared" ref="H2:H21" si="0">E2*F2</f>
        <v>10000</v>
      </c>
      <c r="I2" s="6">
        <f t="shared" ref="I2:I21" si="1">E2*G2</f>
        <v>5200</v>
      </c>
      <c r="J2" s="6">
        <f t="shared" ref="J2:J21" si="2">H2-I2</f>
        <v>4800</v>
      </c>
    </row>
    <row r="3" spans="1:10" x14ac:dyDescent="0.35">
      <c r="A3" s="5" t="s">
        <v>31</v>
      </c>
      <c r="B3" s="5" t="s">
        <v>15</v>
      </c>
      <c r="C3" s="5" t="s">
        <v>32</v>
      </c>
      <c r="D3" s="5" t="s">
        <v>16</v>
      </c>
      <c r="E3" s="5">
        <v>12</v>
      </c>
      <c r="F3" s="6">
        <v>650</v>
      </c>
      <c r="G3" s="6">
        <v>320</v>
      </c>
      <c r="H3" s="6">
        <f t="shared" si="0"/>
        <v>7800</v>
      </c>
      <c r="I3" s="6">
        <f t="shared" si="1"/>
        <v>3840</v>
      </c>
      <c r="J3" s="6">
        <f t="shared" si="2"/>
        <v>3960</v>
      </c>
    </row>
    <row r="4" spans="1:10" x14ac:dyDescent="0.35">
      <c r="A4" s="5" t="s">
        <v>33</v>
      </c>
      <c r="B4" s="5" t="s">
        <v>17</v>
      </c>
      <c r="C4" s="5" t="s">
        <v>30</v>
      </c>
      <c r="D4" s="5" t="s">
        <v>18</v>
      </c>
      <c r="E4" s="5">
        <v>10</v>
      </c>
      <c r="F4" s="6">
        <v>480</v>
      </c>
      <c r="G4" s="6">
        <v>220</v>
      </c>
      <c r="H4" s="6">
        <f t="shared" si="0"/>
        <v>4800</v>
      </c>
      <c r="I4" s="6">
        <f t="shared" si="1"/>
        <v>2200</v>
      </c>
      <c r="J4" s="6">
        <f t="shared" si="2"/>
        <v>2600</v>
      </c>
    </row>
    <row r="5" spans="1:10" x14ac:dyDescent="0.35">
      <c r="A5" s="5" t="s">
        <v>34</v>
      </c>
      <c r="B5" s="5" t="s">
        <v>19</v>
      </c>
      <c r="C5" s="5" t="s">
        <v>35</v>
      </c>
      <c r="D5" s="5" t="s">
        <v>14</v>
      </c>
      <c r="E5" s="5">
        <v>7</v>
      </c>
      <c r="F5" s="6">
        <v>950</v>
      </c>
      <c r="G5" s="6">
        <v>540</v>
      </c>
      <c r="H5" s="6">
        <f t="shared" si="0"/>
        <v>6650</v>
      </c>
      <c r="I5" s="6">
        <f t="shared" si="1"/>
        <v>3780</v>
      </c>
      <c r="J5" s="6">
        <f t="shared" si="2"/>
        <v>2870</v>
      </c>
    </row>
    <row r="6" spans="1:10" x14ac:dyDescent="0.35">
      <c r="A6" s="5" t="s">
        <v>36</v>
      </c>
      <c r="B6" s="5" t="s">
        <v>21</v>
      </c>
      <c r="C6" s="5" t="s">
        <v>37</v>
      </c>
      <c r="D6" s="5" t="s">
        <v>20</v>
      </c>
      <c r="E6" s="5">
        <v>15</v>
      </c>
      <c r="F6" s="6">
        <v>250</v>
      </c>
      <c r="G6" s="6">
        <v>90</v>
      </c>
      <c r="H6" s="6">
        <f t="shared" si="0"/>
        <v>3750</v>
      </c>
      <c r="I6" s="6">
        <f t="shared" si="1"/>
        <v>1350</v>
      </c>
      <c r="J6" s="6">
        <f t="shared" si="2"/>
        <v>2400</v>
      </c>
    </row>
    <row r="7" spans="1:10" x14ac:dyDescent="0.35">
      <c r="A7" s="5" t="s">
        <v>38</v>
      </c>
      <c r="B7" s="5" t="s">
        <v>22</v>
      </c>
      <c r="C7" s="5" t="s">
        <v>30</v>
      </c>
      <c r="D7" s="5" t="s">
        <v>16</v>
      </c>
      <c r="E7" s="5">
        <v>9</v>
      </c>
      <c r="F7" s="6">
        <v>700</v>
      </c>
      <c r="G7" s="6">
        <v>350</v>
      </c>
      <c r="H7" s="6">
        <f t="shared" si="0"/>
        <v>6300</v>
      </c>
      <c r="I7" s="6">
        <f t="shared" si="1"/>
        <v>3150</v>
      </c>
      <c r="J7" s="6">
        <f t="shared" si="2"/>
        <v>3150</v>
      </c>
    </row>
    <row r="8" spans="1:10" x14ac:dyDescent="0.35">
      <c r="A8" s="5" t="s">
        <v>39</v>
      </c>
      <c r="B8" s="5" t="s">
        <v>13</v>
      </c>
      <c r="C8" s="5" t="s">
        <v>32</v>
      </c>
      <c r="D8" s="5" t="s">
        <v>18</v>
      </c>
      <c r="E8" s="5">
        <v>6</v>
      </c>
      <c r="F8" s="6">
        <v>1250</v>
      </c>
      <c r="G8" s="6">
        <v>650</v>
      </c>
      <c r="H8" s="6">
        <f t="shared" si="0"/>
        <v>7500</v>
      </c>
      <c r="I8" s="6">
        <f t="shared" si="1"/>
        <v>3900</v>
      </c>
      <c r="J8" s="6">
        <f t="shared" si="2"/>
        <v>3600</v>
      </c>
    </row>
    <row r="9" spans="1:10" x14ac:dyDescent="0.35">
      <c r="A9" s="5" t="s">
        <v>40</v>
      </c>
      <c r="B9" s="5" t="s">
        <v>15</v>
      </c>
      <c r="C9" s="5" t="s">
        <v>35</v>
      </c>
      <c r="D9" s="5" t="s">
        <v>14</v>
      </c>
      <c r="E9" s="5">
        <v>14</v>
      </c>
      <c r="F9" s="6">
        <v>650</v>
      </c>
      <c r="G9" s="6">
        <v>320</v>
      </c>
      <c r="H9" s="6">
        <f t="shared" si="0"/>
        <v>9100</v>
      </c>
      <c r="I9" s="6">
        <f t="shared" si="1"/>
        <v>4480</v>
      </c>
      <c r="J9" s="6">
        <f t="shared" si="2"/>
        <v>4620</v>
      </c>
    </row>
    <row r="10" spans="1:10" x14ac:dyDescent="0.35">
      <c r="A10" s="5" t="s">
        <v>41</v>
      </c>
      <c r="B10" s="5" t="s">
        <v>17</v>
      </c>
      <c r="C10" s="5" t="s">
        <v>37</v>
      </c>
      <c r="D10" s="5" t="s">
        <v>16</v>
      </c>
      <c r="E10" s="5">
        <v>11</v>
      </c>
      <c r="F10" s="6">
        <v>480</v>
      </c>
      <c r="G10" s="6">
        <v>220</v>
      </c>
      <c r="H10" s="6">
        <f t="shared" si="0"/>
        <v>5280</v>
      </c>
      <c r="I10" s="6">
        <f t="shared" si="1"/>
        <v>2420</v>
      </c>
      <c r="J10" s="6">
        <f t="shared" si="2"/>
        <v>2860</v>
      </c>
    </row>
    <row r="11" spans="1:10" x14ac:dyDescent="0.35">
      <c r="A11" s="5" t="s">
        <v>42</v>
      </c>
      <c r="B11" s="5" t="s">
        <v>19</v>
      </c>
      <c r="C11" s="5" t="s">
        <v>30</v>
      </c>
      <c r="D11" s="5" t="s">
        <v>18</v>
      </c>
      <c r="E11" s="5">
        <v>8</v>
      </c>
      <c r="F11" s="6">
        <v>950</v>
      </c>
      <c r="G11" s="6">
        <v>540</v>
      </c>
      <c r="H11" s="6">
        <f t="shared" si="0"/>
        <v>7600</v>
      </c>
      <c r="I11" s="6">
        <f t="shared" si="1"/>
        <v>4320</v>
      </c>
      <c r="J11" s="6">
        <f t="shared" si="2"/>
        <v>3280</v>
      </c>
    </row>
    <row r="12" spans="1:10" x14ac:dyDescent="0.35">
      <c r="A12" s="5" t="s">
        <v>43</v>
      </c>
      <c r="B12" s="5" t="s">
        <v>21</v>
      </c>
      <c r="C12" s="5" t="s">
        <v>32</v>
      </c>
      <c r="D12" s="5" t="s">
        <v>14</v>
      </c>
      <c r="E12" s="5">
        <v>18</v>
      </c>
      <c r="F12" s="6">
        <v>250</v>
      </c>
      <c r="G12" s="6">
        <v>90</v>
      </c>
      <c r="H12" s="6">
        <f t="shared" si="0"/>
        <v>4500</v>
      </c>
      <c r="I12" s="6">
        <f t="shared" si="1"/>
        <v>1620</v>
      </c>
      <c r="J12" s="6">
        <f t="shared" si="2"/>
        <v>2880</v>
      </c>
    </row>
    <row r="13" spans="1:10" x14ac:dyDescent="0.35">
      <c r="A13" s="5" t="s">
        <v>44</v>
      </c>
      <c r="B13" s="5" t="s">
        <v>22</v>
      </c>
      <c r="C13" s="5" t="s">
        <v>35</v>
      </c>
      <c r="D13" s="5" t="s">
        <v>20</v>
      </c>
      <c r="E13" s="5">
        <v>7</v>
      </c>
      <c r="F13" s="6">
        <v>700</v>
      </c>
      <c r="G13" s="6">
        <v>350</v>
      </c>
      <c r="H13" s="6">
        <f t="shared" si="0"/>
        <v>4900</v>
      </c>
      <c r="I13" s="6">
        <f t="shared" si="1"/>
        <v>2450</v>
      </c>
      <c r="J13" s="6">
        <f t="shared" si="2"/>
        <v>2450</v>
      </c>
    </row>
    <row r="14" spans="1:10" x14ac:dyDescent="0.35">
      <c r="A14" s="5" t="s">
        <v>45</v>
      </c>
      <c r="B14" s="5" t="s">
        <v>13</v>
      </c>
      <c r="C14" s="5" t="s">
        <v>37</v>
      </c>
      <c r="D14" s="5" t="s">
        <v>16</v>
      </c>
      <c r="E14" s="5">
        <v>5</v>
      </c>
      <c r="F14" s="6">
        <v>1250</v>
      </c>
      <c r="G14" s="6">
        <v>650</v>
      </c>
      <c r="H14" s="6">
        <f t="shared" si="0"/>
        <v>6250</v>
      </c>
      <c r="I14" s="6">
        <f t="shared" si="1"/>
        <v>3250</v>
      </c>
      <c r="J14" s="6">
        <f t="shared" si="2"/>
        <v>3000</v>
      </c>
    </row>
    <row r="15" spans="1:10" x14ac:dyDescent="0.35">
      <c r="A15" s="5" t="s">
        <v>46</v>
      </c>
      <c r="B15" s="5" t="s">
        <v>15</v>
      </c>
      <c r="C15" s="5" t="s">
        <v>30</v>
      </c>
      <c r="D15" s="5" t="s">
        <v>18</v>
      </c>
      <c r="E15" s="5">
        <v>16</v>
      </c>
      <c r="F15" s="6">
        <v>650</v>
      </c>
      <c r="G15" s="6">
        <v>320</v>
      </c>
      <c r="H15" s="6">
        <f t="shared" si="0"/>
        <v>10400</v>
      </c>
      <c r="I15" s="6">
        <f t="shared" si="1"/>
        <v>5120</v>
      </c>
      <c r="J15" s="6">
        <f t="shared" si="2"/>
        <v>5280</v>
      </c>
    </row>
    <row r="16" spans="1:10" x14ac:dyDescent="0.35">
      <c r="A16" s="5" t="s">
        <v>47</v>
      </c>
      <c r="B16" s="5" t="s">
        <v>17</v>
      </c>
      <c r="C16" s="5" t="s">
        <v>32</v>
      </c>
      <c r="D16" s="5" t="s">
        <v>14</v>
      </c>
      <c r="E16" s="5">
        <v>13</v>
      </c>
      <c r="F16" s="6">
        <v>480</v>
      </c>
      <c r="G16" s="6">
        <v>220</v>
      </c>
      <c r="H16" s="6">
        <f t="shared" si="0"/>
        <v>6240</v>
      </c>
      <c r="I16" s="6">
        <f t="shared" si="1"/>
        <v>2860</v>
      </c>
      <c r="J16" s="6">
        <f t="shared" si="2"/>
        <v>3380</v>
      </c>
    </row>
    <row r="17" spans="1:10" x14ac:dyDescent="0.35">
      <c r="A17" s="5" t="s">
        <v>48</v>
      </c>
      <c r="B17" s="5" t="s">
        <v>19</v>
      </c>
      <c r="C17" s="5" t="s">
        <v>37</v>
      </c>
      <c r="D17" s="5" t="s">
        <v>16</v>
      </c>
      <c r="E17" s="5">
        <v>6</v>
      </c>
      <c r="F17" s="6">
        <v>950</v>
      </c>
      <c r="G17" s="6">
        <v>540</v>
      </c>
      <c r="H17" s="6">
        <f t="shared" si="0"/>
        <v>5700</v>
      </c>
      <c r="I17" s="6">
        <f t="shared" si="1"/>
        <v>3240</v>
      </c>
      <c r="J17" s="6">
        <f t="shared" si="2"/>
        <v>2460</v>
      </c>
    </row>
    <row r="18" spans="1:10" x14ac:dyDescent="0.35">
      <c r="A18" s="5" t="s">
        <v>49</v>
      </c>
      <c r="B18" s="5" t="s">
        <v>21</v>
      </c>
      <c r="C18" s="5" t="s">
        <v>35</v>
      </c>
      <c r="D18" s="5" t="s">
        <v>18</v>
      </c>
      <c r="E18" s="5">
        <v>20</v>
      </c>
      <c r="F18" s="6">
        <v>250</v>
      </c>
      <c r="G18" s="6">
        <v>90</v>
      </c>
      <c r="H18" s="6">
        <f t="shared" si="0"/>
        <v>5000</v>
      </c>
      <c r="I18" s="6">
        <f t="shared" si="1"/>
        <v>1800</v>
      </c>
      <c r="J18" s="6">
        <f t="shared" si="2"/>
        <v>3200</v>
      </c>
    </row>
    <row r="19" spans="1:10" x14ac:dyDescent="0.35">
      <c r="A19" s="5" t="s">
        <v>50</v>
      </c>
      <c r="B19" s="5" t="s">
        <v>22</v>
      </c>
      <c r="C19" s="5" t="s">
        <v>32</v>
      </c>
      <c r="D19" s="5" t="s">
        <v>14</v>
      </c>
      <c r="E19" s="5">
        <v>10</v>
      </c>
      <c r="F19" s="6">
        <v>700</v>
      </c>
      <c r="G19" s="6">
        <v>350</v>
      </c>
      <c r="H19" s="6">
        <f t="shared" si="0"/>
        <v>7000</v>
      </c>
      <c r="I19" s="6">
        <f t="shared" si="1"/>
        <v>3500</v>
      </c>
      <c r="J19" s="6">
        <f t="shared" si="2"/>
        <v>3500</v>
      </c>
    </row>
    <row r="20" spans="1:10" x14ac:dyDescent="0.35">
      <c r="A20" s="5" t="s">
        <v>51</v>
      </c>
      <c r="B20" s="5" t="s">
        <v>13</v>
      </c>
      <c r="C20" s="5" t="s">
        <v>35</v>
      </c>
      <c r="D20" s="5" t="s">
        <v>20</v>
      </c>
      <c r="E20" s="5">
        <v>4</v>
      </c>
      <c r="F20" s="6">
        <v>1250</v>
      </c>
      <c r="G20" s="6">
        <v>650</v>
      </c>
      <c r="H20" s="6">
        <f t="shared" si="0"/>
        <v>5000</v>
      </c>
      <c r="I20" s="6">
        <f t="shared" si="1"/>
        <v>2600</v>
      </c>
      <c r="J20" s="6">
        <f t="shared" si="2"/>
        <v>2400</v>
      </c>
    </row>
    <row r="21" spans="1:10" x14ac:dyDescent="0.35">
      <c r="A21" s="5" t="s">
        <v>52</v>
      </c>
      <c r="B21" s="5" t="s">
        <v>15</v>
      </c>
      <c r="C21" s="5" t="s">
        <v>37</v>
      </c>
      <c r="D21" s="5" t="s">
        <v>16</v>
      </c>
      <c r="E21" s="5">
        <v>9</v>
      </c>
      <c r="F21" s="6">
        <v>650</v>
      </c>
      <c r="G21" s="6">
        <v>320</v>
      </c>
      <c r="H21" s="6">
        <f t="shared" si="0"/>
        <v>5850</v>
      </c>
      <c r="I21" s="6">
        <f t="shared" si="1"/>
        <v>2880</v>
      </c>
      <c r="J21" s="6">
        <f t="shared" si="2"/>
        <v>2970</v>
      </c>
    </row>
  </sheetData>
  <autoFilter ref="A1:J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ochieng</cp:lastModifiedBy>
  <dcterms:created xsi:type="dcterms:W3CDTF">2026-10-22T14:34:00Z</dcterms:created>
  <dcterms:modified xsi:type="dcterms:W3CDTF">2026-10-22T14:50:45Z</dcterms:modified>
</cp:coreProperties>
</file>